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EECC6439-F85A-4CAD-A2CA-9562826C742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tabela apoio" sheetId="2" r:id="rId2"/>
  </sheets>
  <definedNames>
    <definedName name="_xlnm._FilterDatabase" localSheetId="0" hidden="1">App!$B$36:$D$42</definedName>
    <definedName name="Aporte">App!$D$18:$D$18</definedName>
    <definedName name="qtd_anos">App!$D$19:$D$19</definedName>
    <definedName name="rendimentoCarteira">App!$D$13:$D$13</definedName>
    <definedName name="salario">App!$D$12:$D$12</definedName>
    <definedName name="sugestao_invest">App!$D$14:$D$14</definedName>
    <definedName name="taxa_mensal">App!$D$20:$D$20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 a="1"/>
  <c r="C34" i="1"/>
  <c r="C38" i="1"/>
  <c r="D38" i="1" s="1"/>
  <c r="C39" i="1"/>
  <c r="D39" i="1" s="1"/>
  <c r="C40" i="1"/>
  <c r="D40" i="1" s="1"/>
  <c r="C41" i="1"/>
  <c r="D41" i="1" s="1"/>
  <c r="C42" i="1"/>
  <c r="D42" i="1" s="1"/>
  <c r="C37" i="1"/>
  <c r="D37" i="1" s="1"/>
  <c r="A18" i="2"/>
  <c r="A19" i="2"/>
  <c r="A20" i="2"/>
  <c r="A21" i="2"/>
  <c r="A22" i="2"/>
  <c r="A23" i="2"/>
  <c r="A12" i="2"/>
  <c r="A13" i="2"/>
  <c r="A14" i="2"/>
  <c r="A15" i="2"/>
  <c r="A16" i="2"/>
  <c r="A17" i="2"/>
  <c r="A7" i="2"/>
  <c r="A8" i="2"/>
  <c r="A9" i="2"/>
  <c r="A10" i="2"/>
  <c r="A11" i="2"/>
  <c r="A6" i="2"/>
  <c r="D21" i="1" a="1"/>
  <c r="D21" i="1"/>
  <c r="D22" i="1" s="1" a="1"/>
  <c r="D22" i="1" s="1"/>
  <c r="D14" i="1"/>
  <c r="C27" i="1"/>
  <c r="D27" i="1" s="1" a="1"/>
  <c r="D27" i="1" s="1"/>
  <c r="C28" i="1"/>
  <c r="D28" i="1" s="1" a="1"/>
  <c r="D28" i="1" s="1"/>
  <c r="C29" i="1"/>
  <c r="D29" i="1" s="1" a="1"/>
  <c r="D29" i="1" s="1"/>
  <c r="C30" i="1"/>
  <c r="D30" i="1" s="1" a="1"/>
  <c r="D30" i="1" s="1"/>
  <c r="C26" i="1"/>
  <c r="D26" i="1" s="1" a="1"/>
  <c r="D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<sst xmlns="http://schemas.openxmlformats.org/spreadsheetml/2006/main" count="69" uniqueCount="33">
  <si>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</si>
  <si>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</si>
  <si>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da carteira</t>
  </si>
  <si>
    <t>Sugestão de Investimento</t>
  </si>
  <si>
    <t>Investimento Mensal</t>
  </si>
  <si>
    <t>Quanto investir por mes?</t>
  </si>
  <si>
    <t>Por quantos anos?</t>
  </si>
  <si>
    <t>Taxa de rendimento mensal</t>
  </si>
  <si>
    <t>Patrimonio acumulado</t>
  </si>
  <si>
    <t>Dividendos mensais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</si>
  <si>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</si>
  <si>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</si>
  <si>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</si>
  <si>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</si>
  <si>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</si>
  <si>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</si>
  <si>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</si>
  <si>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</si>
  <si>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</si>
  <si>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mes</t>
  </si>
  <si>
    <t>Tipo de FII</t>
  </si>
  <si>
    <t>Porcentagem</t>
  </si>
  <si>
    <t>Valores</t>
  </si>
  <si>
    <t>Papel</t>
  </si>
  <si>
    <t>Tijolo</t>
  </si>
  <si>
    <t>Hibrido</t>
  </si>
  <si>
    <t>FOFs</t>
  </si>
  <si>
    <t>Desenvolvimento</t>
  </si>
  <si>
    <t>Hotelaria</t>
  </si>
  <si>
    <t>Chave</t>
  </si>
  <si>
    <t>%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</si>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</sst>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Aptos"/>
    </font>
    <font>
      <b/>
      <sz val="11"/>
      <color theme="0"/>
      <name val="Aptos"/>
    </font>
    <font>
      <b/>
      <sz val="11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3A09D"/>
        <bgColor indexed="64"/>
      </patternFill>
    </fill>
    <fill>
      <patternFill patternType="solid">
        <fgColor rgb="FF0F94E7"/>
        <bgColor indexed="64"/>
      </patternFill>
    </fill>
    <fill>
      <patternFill patternType="solid">
        <fgColor rgb="FFE4CAA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9.9978637043366805E-2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rgb="FF000000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2" tint="-0.249977111117893"/>
      </top>
      <bottom style="medium">
        <color rgb="FF000000"/>
      </bottom>
      <diagonal/>
    </border>
    <border>
      <left style="thin">
        <color theme="2" tint="-0.249977111117893"/>
      </left>
      <right style="medium">
        <color rgb="FF000000"/>
      </right>
      <top style="thin">
        <color theme="0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rgb="FF000000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indent="3"/>
    </xf>
    <xf numFmtId="0" fontId="0" fillId="2" borderId="7" xfId="0" applyFill="1" applyBorder="1" applyAlignment="1">
      <alignment horizontal="left" vertical="center" indent="3"/>
    </xf>
    <xf numFmtId="0" fontId="0" fillId="2" borderId="10" xfId="0" applyFill="1" applyBorder="1" applyAlignment="1">
      <alignment horizontal="left" vertical="center" indent="3"/>
    </xf>
    <xf numFmtId="8" fontId="0" fillId="2" borderId="5" xfId="0" applyNumberFormat="1" applyFill="1" applyBorder="1" applyAlignment="1">
      <alignment horizontal="center" vertical="center"/>
    </xf>
    <xf numFmtId="8" fontId="0" fillId="2" borderId="14" xfId="0" applyNumberFormat="1" applyFill="1" applyBorder="1" applyAlignment="1">
      <alignment horizontal="center" vertical="center"/>
    </xf>
    <xf numFmtId="8" fontId="0" fillId="2" borderId="8" xfId="0" applyNumberFormat="1" applyFill="1" applyBorder="1" applyAlignment="1">
      <alignment horizontal="center" vertical="center"/>
    </xf>
    <xf numFmtId="8" fontId="0" fillId="2" borderId="9" xfId="0" applyNumberFormat="1" applyFill="1" applyBorder="1" applyAlignment="1">
      <alignment horizontal="center" vertical="center"/>
    </xf>
    <xf numFmtId="8" fontId="0" fillId="2" borderId="11" xfId="0" applyNumberFormat="1" applyFill="1" applyBorder="1" applyAlignment="1">
      <alignment horizontal="center" vertical="center"/>
    </xf>
    <xf numFmtId="8" fontId="0" fillId="2" borderId="12" xfId="0" applyNumberFormat="1" applyFill="1" applyBorder="1" applyAlignment="1">
      <alignment horizontal="center" vertical="center"/>
    </xf>
    <xf numFmtId="164" fontId="0" fillId="0" borderId="13" xfId="0" applyNumberFormat="1" applyFont="1" applyBorder="1" applyAlignment="1">
      <alignment horizontal="center" vertical="center"/>
    </xf>
    <xf numFmtId="1" fontId="0" fillId="0" borderId="9" xfId="0" applyNumberFormat="1" applyFont="1" applyBorder="1" applyAlignment="1">
      <alignment horizontal="center" vertical="center"/>
    </xf>
    <xf numFmtId="10" fontId="0" fillId="0" borderId="9" xfId="0" applyNumberFormat="1" applyFont="1" applyBorder="1" applyAlignment="1">
      <alignment horizontal="center" vertical="center"/>
    </xf>
    <xf numFmtId="8" fontId="0" fillId="2" borderId="9" xfId="0" applyNumberFormat="1" applyFont="1" applyFill="1" applyBorder="1" applyAlignment="1">
      <alignment horizontal="center" vertical="center"/>
    </xf>
    <xf numFmtId="8" fontId="0" fillId="2" borderId="12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16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 indent="3"/>
    </xf>
    <xf numFmtId="0" fontId="0" fillId="2" borderId="5" xfId="0" applyFill="1" applyBorder="1" applyAlignment="1">
      <alignment horizontal="left" vertical="center" indent="3"/>
    </xf>
    <xf numFmtId="0" fontId="0" fillId="2" borderId="7" xfId="0" applyFill="1" applyBorder="1" applyAlignment="1">
      <alignment horizontal="left" vertical="center" indent="3"/>
    </xf>
    <xf numFmtId="0" fontId="0" fillId="2" borderId="8" xfId="0" applyFill="1" applyBorder="1" applyAlignment="1">
      <alignment horizontal="left" vertical="center" indent="3"/>
    </xf>
    <xf numFmtId="0" fontId="0" fillId="2" borderId="10" xfId="0" applyFill="1" applyBorder="1" applyAlignment="1">
      <alignment horizontal="left" vertical="center" indent="3"/>
    </xf>
    <xf numFmtId="0" fontId="0" fillId="2" borderId="11" xfId="0" applyFill="1" applyBorder="1" applyAlignment="1">
      <alignment horizontal="left" vertical="center" indent="3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9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4CAA0"/>
      <color rgb="FFFFFFFF"/>
      <color rgb="FF0F94E7"/>
      <color rgb="FFE3A09D"/>
      <color rgb="FFF7E0E3"/>
      <color rgb="FF0F93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santosbancarios.com.br/artigo/dinheiro-esquecido-r-75-bilhoes-estao-disponiveis-para-resgate-no-banco-central/" TargetMode="External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47625</xdr:rowOff>
    </xdr:from>
    <xdr:to>
      <xdr:col>3</xdr:col>
      <xdr:colOff>1076325</xdr:colOff>
      <xdr:row>9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C1929B-B990-EB2F-9378-E50FFC45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837473B0-CC2E-450A-ABE3-18F120FF3D39}">
              <a1611:picAttrSrcUrl xmlns:a1611="http://schemas.microsoft.com/office/drawing/2016/11/main" r:id="rId2"/>
            </a:ext>
          </a:extLst>
        </a:blip>
        <a:srcRect t="16704" b="20098"/>
        <a:stretch>
          <a:fillRect/>
        </a:stretch>
      </xdr:blipFill>
      <xdr:spPr>
        <a:xfrm>
          <a:off x="247650" y="47625"/>
          <a:ext cx="4476750" cy="174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showRowColHeaders="0" tabSelected="1" workbookViewId="0">
      <selection activeCell="E6" sqref="E6"/>
    </sheetView>
  </sheetViews>
  <sheetFormatPr defaultColWidth="0" defaultRowHeight="15" zeroHeight="1"/>
  <cols>
    <col min="1" max="1" width="3.28515625" bestFit="1" customWidth="1"/>
    <col min="2" max="2" width="35" bestFit="1" customWidth="1"/>
    <col min="3" max="3" width="16.42578125" customWidth="1"/>
    <col min="4" max="4" width="16.85546875" bestFit="1" customWidth="1"/>
    <col min="5" max="5" width="4.140625" customWidth="1"/>
    <col min="6" max="6" width="12.5703125" hidden="1" customWidth="1"/>
    <col min="7" max="7" width="9.140625" hidden="1" customWidth="1"/>
  </cols>
  <sheetData>
    <row r="1" spans="2:6"/>
    <row r="2" spans="2:6"/>
    <row r="3" spans="2:6"/>
    <row r="4" spans="2:6"/>
    <row r="5" spans="2:6"/>
    <row r="6" spans="2:6"/>
    <row r="7" spans="2:6"/>
    <row r="8" spans="2:6"/>
    <row r="9" spans="2:6"/>
    <row r="10" spans="2:6">
      <c r="B10" s="2"/>
      <c r="C10" s="2"/>
      <c r="D10" s="2"/>
      <c r="E10" s="2"/>
      <c r="F10" s="2"/>
    </row>
    <row r="11" spans="2:6" ht="21">
      <c r="B11" s="35" t="s">
        <v>0</v>
      </c>
      <c r="C11" s="36"/>
      <c r="D11" s="37"/>
      <c r="E11" s="2"/>
      <c r="F11" s="2"/>
    </row>
    <row r="12" spans="2:6">
      <c r="B12" s="29" t="s">
        <v>1</v>
      </c>
      <c r="C12" s="30"/>
      <c r="D12" s="19">
        <v>5000</v>
      </c>
      <c r="E12" s="2"/>
      <c r="F12" s="2"/>
    </row>
    <row r="13" spans="2:6">
      <c r="B13" s="31" t="s">
        <v>2</v>
      </c>
      <c r="C13" s="32"/>
      <c r="D13" s="20">
        <v>8.6999999999999994E-3</v>
      </c>
      <c r="E13" s="2"/>
      <c r="F13" s="2"/>
    </row>
    <row r="14" spans="2:6">
      <c r="B14" s="33" t="s">
        <v>3</v>
      </c>
      <c r="C14" s="34"/>
      <c r="D14" s="21">
        <f>D12*30%</f>
        <v>1500</v>
      </c>
      <c r="E14" s="2"/>
      <c r="F14" s="2"/>
    </row>
    <row r="15" spans="2:6">
      <c r="B15" s="2"/>
      <c r="C15" s="2"/>
      <c r="D15" s="2"/>
      <c r="E15" s="2"/>
      <c r="F15" s="2"/>
    </row>
    <row r="16" spans="2:6">
      <c r="B16" s="2"/>
      <c r="C16" s="2"/>
      <c r="D16" s="2"/>
      <c r="E16" s="2"/>
      <c r="F16" s="2"/>
    </row>
    <row r="17" spans="1:6" ht="21">
      <c r="B17" s="27" t="s">
        <v>4</v>
      </c>
      <c r="C17" s="38"/>
      <c r="D17" s="39"/>
      <c r="E17" s="2"/>
      <c r="F17" s="2"/>
    </row>
    <row r="18" spans="1:6" ht="21.75" customHeight="1">
      <c r="B18" s="29" t="s">
        <v>5</v>
      </c>
      <c r="C18" s="30"/>
      <c r="D18" s="14">
        <v>500</v>
      </c>
      <c r="E18" s="2"/>
      <c r="F18" s="2"/>
    </row>
    <row r="19" spans="1:6" ht="21.75" customHeight="1">
      <c r="B19" s="31" t="s">
        <v>6</v>
      </c>
      <c r="C19" s="32"/>
      <c r="D19" s="15">
        <v>5</v>
      </c>
      <c r="E19" s="2"/>
      <c r="F19" s="2"/>
    </row>
    <row r="20" spans="1:6" ht="21.75" customHeight="1">
      <c r="B20" s="31" t="s">
        <v>7</v>
      </c>
      <c r="C20" s="32"/>
      <c r="D20" s="16">
        <v>1.0789999999999999E-2</v>
      </c>
      <c r="E20" s="2"/>
      <c r="F20" s="2"/>
    </row>
    <row r="21" spans="1:6" ht="21.75" customHeight="1">
      <c r="B21" s="31" t="s">
        <v>8</v>
      </c>
      <c r="C21" s="32"/>
      <c r="D21" s="17" cm="1">
        <f t="array" ref="D21">FV(taxa_mensal,qtd_anos*12,Aporte*-1)</f>
        <v>41888.456999243819</v>
      </c>
      <c r="E21" s="2"/>
      <c r="F21" s="2"/>
    </row>
    <row r="22" spans="1:6" ht="21.75" customHeight="1">
      <c r="B22" s="33" t="s">
        <v>9</v>
      </c>
      <c r="C22" s="34"/>
      <c r="D22" s="18" cm="1">
        <f t="array" ref="D22">D21*rendimentoCarteira</f>
        <v>364.4295758934212</v>
      </c>
      <c r="E22" s="2"/>
      <c r="F22" s="3"/>
    </row>
    <row r="23" spans="1:6">
      <c r="B23" s="2"/>
      <c r="C23" s="2"/>
      <c r="D23" s="2"/>
      <c r="E23" s="2"/>
      <c r="F23" s="3"/>
    </row>
    <row r="24" spans="1:6">
      <c r="B24" s="2"/>
      <c r="C24" s="2"/>
      <c r="D24" s="2"/>
      <c r="E24" s="2"/>
      <c r="F24" s="2"/>
    </row>
    <row r="25" spans="1:6" ht="21">
      <c r="B25" s="27" t="s">
        <v>10</v>
      </c>
      <c r="C25" s="28"/>
      <c r="D25" s="4" t="s">
        <v>11</v>
      </c>
      <c r="E25" s="2"/>
      <c r="F25" s="2"/>
    </row>
    <row r="26" spans="1:6">
      <c r="A26" s="1">
        <v>2</v>
      </c>
      <c r="B26" s="5" t="s">
        <v>12</v>
      </c>
      <c r="C26" s="8">
        <f>FV($D$20,$A26*12,$D$18*-1)</f>
        <v>13613.813648822608</v>
      </c>
      <c r="D26" s="9" cm="1">
        <f t="array" ref="D26">C26*rendimentoCarteira</f>
        <v>118.44017874475668</v>
      </c>
      <c r="E26" s="2"/>
      <c r="F26" s="2"/>
    </row>
    <row r="27" spans="1:6">
      <c r="A27" s="1">
        <v>5</v>
      </c>
      <c r="B27" s="6" t="s">
        <v>13</v>
      </c>
      <c r="C27" s="10">
        <f>FV($D$20,$A27*12,$D$18*-1)</f>
        <v>41888.456999243819</v>
      </c>
      <c r="D27" s="11" cm="1">
        <f t="array" ref="D27">C27*rendimentoCarteira</f>
        <v>364.4295758934212</v>
      </c>
      <c r="E27" s="2"/>
      <c r="F27" s="2"/>
    </row>
    <row r="28" spans="1:6">
      <c r="A28" s="1">
        <v>10</v>
      </c>
      <c r="B28" s="6" t="s">
        <v>14</v>
      </c>
      <c r="C28" s="10">
        <f>FV($D$20,$A28*12,$D$18*-1)</f>
        <v>121642.1062650861</v>
      </c>
      <c r="D28" s="11" cm="1">
        <f t="array" ref="D28">C28*rendimentoCarteira</f>
        <v>1058.286324506249</v>
      </c>
      <c r="E28" s="2"/>
      <c r="F28" s="2"/>
    </row>
    <row r="29" spans="1:6">
      <c r="A29" s="1">
        <v>20</v>
      </c>
      <c r="B29" s="6" t="s">
        <v>15</v>
      </c>
      <c r="C29" s="10">
        <f>FV($D$20,$A29*12,$D$18*-1)</f>
        <v>562599.20004854025</v>
      </c>
      <c r="D29" s="11" cm="1">
        <f t="array" ref="D29">C29*rendimentoCarteira</f>
        <v>4894.6130404222995</v>
      </c>
      <c r="E29" s="2"/>
      <c r="F29" s="2"/>
    </row>
    <row r="30" spans="1:6">
      <c r="A30" s="1">
        <v>30</v>
      </c>
      <c r="B30" s="7" t="s">
        <v>16</v>
      </c>
      <c r="C30" s="12">
        <f>FV($D$20,$A30*12,$D$18*-1)</f>
        <v>2161084.8275023573</v>
      </c>
      <c r="D30" s="13" cm="1">
        <f t="array" ref="D30">C30*rendimentoCarteira</f>
        <v>18801.437999270507</v>
      </c>
      <c r="E30" s="2"/>
      <c r="F30" s="2"/>
    </row>
    <row r="31" spans="1:6">
      <c r="B31" s="2"/>
      <c r="C31" s="2"/>
      <c r="D31" s="2"/>
      <c r="E31" s="2"/>
      <c r="F31" s="2"/>
    </row>
    <row r="32" spans="1:6">
      <c r="B32" s="2"/>
      <c r="C32" s="2"/>
      <c r="D32" s="2"/>
      <c r="E32" s="2"/>
      <c r="F32" s="2"/>
    </row>
    <row r="33" spans="2:6" ht="21">
      <c r="B33" s="40" t="s">
        <v>17</v>
      </c>
      <c r="C33" s="41"/>
      <c r="D33" s="53" t="s">
        <v>18</v>
      </c>
      <c r="E33" s="2"/>
      <c r="F33" s="2"/>
    </row>
    <row r="34" spans="2:6">
      <c r="B34" s="45" t="s">
        <v>19</v>
      </c>
      <c r="C34" s="54" cm="1">
        <f t="array" ref="C34">Aporte</f>
        <v>500</v>
      </c>
      <c r="D34" s="47"/>
      <c r="E34" s="2"/>
      <c r="F34" s="2"/>
    </row>
    <row r="35" spans="2:6" ht="5.25" customHeight="1">
      <c r="B35" s="42"/>
      <c r="C35" s="44"/>
      <c r="D35" s="43"/>
      <c r="E35" s="2"/>
      <c r="F35" s="2"/>
    </row>
    <row r="36" spans="2:6">
      <c r="B36" s="45" t="s">
        <v>20</v>
      </c>
      <c r="C36" s="46" t="s">
        <v>21</v>
      </c>
      <c r="D36" s="47" t="s">
        <v>22</v>
      </c>
    </row>
    <row r="37" spans="2:6">
      <c r="B37" s="45" t="s">
        <v>23</v>
      </c>
      <c r="C37" s="48">
        <f>VLOOKUP($D$33&amp;"-"&amp;B37,'tabela apoio'!$A:$D,4,FALSE)</f>
        <v>0.3</v>
      </c>
      <c r="D37" s="49">
        <f>$C$34*C37</f>
        <v>150</v>
      </c>
    </row>
    <row r="38" spans="2:6">
      <c r="B38" s="45" t="s">
        <v>24</v>
      </c>
      <c r="C38" s="48">
        <f>VLOOKUP($D$33&amp;"-"&amp;B38,'tabela apoio'!$A:$D,4,FALSE)</f>
        <v>0.5</v>
      </c>
      <c r="D38" s="49">
        <f t="shared" ref="D38:D42" si="0">$C$34*C38</f>
        <v>250</v>
      </c>
    </row>
    <row r="39" spans="2:6">
      <c r="B39" s="45" t="s">
        <v>25</v>
      </c>
      <c r="C39" s="48">
        <f>VLOOKUP($D$33&amp;"-"&amp;B39,'tabela apoio'!$A:$D,4,FALSE)</f>
        <v>0.1</v>
      </c>
      <c r="D39" s="49">
        <f t="shared" si="0"/>
        <v>50</v>
      </c>
    </row>
    <row r="40" spans="2:6">
      <c r="B40" s="45" t="s">
        <v>26</v>
      </c>
      <c r="C40" s="48">
        <f>VLOOKUP($D$33&amp;"-"&amp;B40,'tabela apoio'!$A:$D,4,FALSE)</f>
        <v>0.1</v>
      </c>
      <c r="D40" s="49">
        <f t="shared" si="0"/>
        <v>50</v>
      </c>
    </row>
    <row r="41" spans="2:6">
      <c r="B41" s="45" t="s">
        <v>27</v>
      </c>
      <c r="C41" s="48">
        <f>VLOOKUP($D$33&amp;"-"&amp;B41,'tabela apoio'!$A:$D,4,FALSE)</f>
        <v>0</v>
      </c>
      <c r="D41" s="49">
        <f t="shared" si="0"/>
        <v>0</v>
      </c>
    </row>
    <row r="42" spans="2:6">
      <c r="B42" s="50" t="s">
        <v>28</v>
      </c>
      <c r="C42" s="51">
        <f>VLOOKUP($D$33&amp;"-"&amp;B42,'tabela apoio'!$A:$D,4,FALSE)</f>
        <v>0</v>
      </c>
      <c r="D42" s="52">
        <f t="shared" si="0"/>
        <v>0</v>
      </c>
    </row>
    <row r="43" spans="2:6">
      <c r="D43" s="26"/>
    </row>
    <row r="44" spans="2:6"/>
  </sheetData>
  <mergeCells count="12">
    <mergeCell ref="B11:D11"/>
    <mergeCell ref="B17:D17"/>
    <mergeCell ref="B33:C33"/>
    <mergeCell ref="B25:C25"/>
    <mergeCell ref="B12:C12"/>
    <mergeCell ref="B13:C13"/>
    <mergeCell ref="B14:C14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D33" xr:uid="{F08FF376-1D3A-448E-AA53-8D1CB3584F34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483F-EE86-449E-95A2-23FD16F0F48E}">
  <dimension ref="A5:D23"/>
  <sheetViews>
    <sheetView workbookViewId="0">
      <selection activeCell="G7" sqref="G7"/>
    </sheetView>
  </sheetViews>
  <sheetFormatPr defaultRowHeight="15"/>
  <cols>
    <col min="1" max="1" width="18" bestFit="1" customWidth="1"/>
    <col min="2" max="2" width="12.140625" bestFit="1" customWidth="1"/>
    <col min="3" max="3" width="16.5703125" bestFit="1" customWidth="1"/>
  </cols>
  <sheetData>
    <row r="5" spans="1:4">
      <c r="A5" s="55" t="s">
        <v>29</v>
      </c>
      <c r="B5" s="55" t="s">
        <v>17</v>
      </c>
      <c r="C5" s="55" t="s">
        <v>20</v>
      </c>
      <c r="D5" s="55" t="s">
        <v>30</v>
      </c>
    </row>
    <row r="6" spans="1:4">
      <c r="A6" s="22" t="str">
        <f>B6&amp;"-"&amp;C6</f>
        <v>Conservador-Papel</v>
      </c>
      <c r="B6" s="22" t="s">
        <v>18</v>
      </c>
      <c r="C6" s="22" t="s">
        <v>23</v>
      </c>
      <c r="D6" s="23">
        <v>0.3</v>
      </c>
    </row>
    <row r="7" spans="1:4">
      <c r="A7" s="22" t="str">
        <f t="shared" ref="A7:A23" si="0">B7&amp;"-"&amp;C7</f>
        <v>Conservador-Tijolo</v>
      </c>
      <c r="B7" s="22" t="s">
        <v>18</v>
      </c>
      <c r="C7" s="22" t="s">
        <v>24</v>
      </c>
      <c r="D7" s="23">
        <v>0.5</v>
      </c>
    </row>
    <row r="8" spans="1:4">
      <c r="A8" s="22" t="str">
        <f t="shared" si="0"/>
        <v>Conservador-Hibrido</v>
      </c>
      <c r="B8" s="22" t="s">
        <v>18</v>
      </c>
      <c r="C8" s="22" t="s">
        <v>25</v>
      </c>
      <c r="D8" s="23">
        <v>0.1</v>
      </c>
    </row>
    <row r="9" spans="1:4">
      <c r="A9" s="22" t="str">
        <f t="shared" si="0"/>
        <v>Conservador-FOFs</v>
      </c>
      <c r="B9" s="22" t="s">
        <v>18</v>
      </c>
      <c r="C9" s="22" t="s">
        <v>26</v>
      </c>
      <c r="D9" s="23">
        <v>0.1</v>
      </c>
    </row>
    <row r="10" spans="1:4">
      <c r="A10" s="22" t="str">
        <f t="shared" si="0"/>
        <v>Conservador-Desenvolvimento</v>
      </c>
      <c r="B10" s="22" t="s">
        <v>18</v>
      </c>
      <c r="C10" s="22" t="s">
        <v>27</v>
      </c>
      <c r="D10" s="23">
        <v>0</v>
      </c>
    </row>
    <row r="11" spans="1:4">
      <c r="A11" s="24" t="str">
        <f t="shared" si="0"/>
        <v>Conservador-Hotelaria</v>
      </c>
      <c r="B11" s="24" t="s">
        <v>18</v>
      </c>
      <c r="C11" s="24" t="s">
        <v>28</v>
      </c>
      <c r="D11" s="25">
        <v>0</v>
      </c>
    </row>
    <row r="12" spans="1:4">
      <c r="A12" s="22" t="str">
        <f t="shared" si="0"/>
        <v>Moderado-Papel</v>
      </c>
      <c r="B12" s="22" t="s">
        <v>31</v>
      </c>
      <c r="C12" s="22" t="s">
        <v>23</v>
      </c>
      <c r="D12" s="23">
        <v>0.32</v>
      </c>
    </row>
    <row r="13" spans="1:4">
      <c r="A13" s="22" t="str">
        <f t="shared" si="0"/>
        <v>Moderado-Tijolo</v>
      </c>
      <c r="B13" s="22" t="s">
        <v>31</v>
      </c>
      <c r="C13" s="22" t="s">
        <v>24</v>
      </c>
      <c r="D13" s="23">
        <v>0.35</v>
      </c>
    </row>
    <row r="14" spans="1:4">
      <c r="A14" s="22" t="str">
        <f t="shared" si="0"/>
        <v>Moderado-Hibrido</v>
      </c>
      <c r="B14" s="22" t="s">
        <v>31</v>
      </c>
      <c r="C14" s="22" t="s">
        <v>25</v>
      </c>
      <c r="D14" s="23">
        <v>0.08</v>
      </c>
    </row>
    <row r="15" spans="1:4">
      <c r="A15" s="22" t="str">
        <f t="shared" si="0"/>
        <v>Moderado-FOFs</v>
      </c>
      <c r="B15" s="22" t="s">
        <v>31</v>
      </c>
      <c r="C15" s="22" t="s">
        <v>26</v>
      </c>
      <c r="D15" s="23">
        <v>0.05</v>
      </c>
    </row>
    <row r="16" spans="1:4">
      <c r="A16" s="22" t="str">
        <f t="shared" si="0"/>
        <v>Moderado-Desenvolvimento</v>
      </c>
      <c r="B16" s="22" t="s">
        <v>31</v>
      </c>
      <c r="C16" s="22" t="s">
        <v>27</v>
      </c>
      <c r="D16" s="23">
        <v>0.1</v>
      </c>
    </row>
    <row r="17" spans="1:4">
      <c r="A17" s="24" t="str">
        <f t="shared" si="0"/>
        <v>Moderado-Hotelaria</v>
      </c>
      <c r="B17" s="24" t="s">
        <v>31</v>
      </c>
      <c r="C17" s="24" t="s">
        <v>28</v>
      </c>
      <c r="D17" s="25">
        <v>0.1</v>
      </c>
    </row>
    <row r="18" spans="1:4">
      <c r="A18" s="22" t="str">
        <f t="shared" si="0"/>
        <v>Agressivo-Papel</v>
      </c>
      <c r="B18" s="22" t="s">
        <v>32</v>
      </c>
      <c r="C18" s="22" t="s">
        <v>23</v>
      </c>
      <c r="D18" s="23">
        <v>0.5</v>
      </c>
    </row>
    <row r="19" spans="1:4">
      <c r="A19" s="22" t="str">
        <f t="shared" si="0"/>
        <v>Agressivo-Tijolo</v>
      </c>
      <c r="B19" s="22" t="s">
        <v>32</v>
      </c>
      <c r="C19" s="22" t="s">
        <v>24</v>
      </c>
      <c r="D19" s="23">
        <v>0.1</v>
      </c>
    </row>
    <row r="20" spans="1:4">
      <c r="A20" s="22" t="str">
        <f t="shared" si="0"/>
        <v>Agressivo-Hibrido</v>
      </c>
      <c r="B20" s="22" t="s">
        <v>32</v>
      </c>
      <c r="C20" s="22" t="s">
        <v>25</v>
      </c>
      <c r="D20" s="23">
        <v>0.05</v>
      </c>
    </row>
    <row r="21" spans="1:4">
      <c r="A21" s="22" t="str">
        <f t="shared" si="0"/>
        <v>Agressivo-FOFs</v>
      </c>
      <c r="B21" s="22" t="s">
        <v>32</v>
      </c>
      <c r="C21" s="22" t="s">
        <v>26</v>
      </c>
      <c r="D21" s="23">
        <v>0.05</v>
      </c>
    </row>
    <row r="22" spans="1:4">
      <c r="A22" s="22" t="str">
        <f t="shared" si="0"/>
        <v>Agressivo-Desenvolvimento</v>
      </c>
      <c r="B22" s="22" t="s">
        <v>32</v>
      </c>
      <c r="C22" s="22" t="s">
        <v>27</v>
      </c>
      <c r="D22" s="23">
        <v>0.2</v>
      </c>
    </row>
    <row r="23" spans="1:4">
      <c r="A23" s="22" t="str">
        <f t="shared" si="0"/>
        <v>Agressivo-Hotelaria</v>
      </c>
      <c r="B23" s="22" t="s">
        <v>32</v>
      </c>
      <c r="C23" s="22" t="s">
        <v>28</v>
      </c>
      <c r="D23" s="2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2026-09-12T21:11:36Z</dcterms:created>
  <dcterms:modified xsi:type="dcterms:W3CDTF">2026-09-13T00:53:52Z</dcterms:modified>
  <cp:category/>
  <cp:contentStatus/>
</cp:coreProperties>
</file>